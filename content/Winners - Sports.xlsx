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s" sheetId="1" r:id="rId5"/>
    <sheet state="visible" name="Chess" sheetId="2" r:id="rId6"/>
  </sheets>
  <definedNames/>
  <calcPr/>
</workbook>
</file>

<file path=xl/sharedStrings.xml><?xml version="1.0" encoding="utf-8"?>
<sst xmlns="http://schemas.openxmlformats.org/spreadsheetml/2006/main" count="237" uniqueCount="116">
  <si>
    <t>Name</t>
  </si>
  <si>
    <t>Apartment</t>
  </si>
  <si>
    <t>Gift Type</t>
  </si>
  <si>
    <t>Toddlers (Age 1-3) - 50 Mtr Run</t>
  </si>
  <si>
    <t>Medal and Trophy Count</t>
  </si>
  <si>
    <t>Jivika Verma</t>
  </si>
  <si>
    <t>Gold Medal</t>
  </si>
  <si>
    <t>Anikya</t>
  </si>
  <si>
    <t>Trophy - 1st Price</t>
  </si>
  <si>
    <t>Dhyuveer Handa</t>
  </si>
  <si>
    <t>Trophy - 2nd Price</t>
  </si>
  <si>
    <t>Pranavika</t>
  </si>
  <si>
    <t>Trophy - 3rd Price</t>
  </si>
  <si>
    <t>Gargi Mishra</t>
  </si>
  <si>
    <t>Aadhya Lakshmi Heera</t>
  </si>
  <si>
    <t xml:space="preserve">Kinza Akhter </t>
  </si>
  <si>
    <t>Shivang Bahuguna</t>
  </si>
  <si>
    <t>Shriyan Chakraborty</t>
  </si>
  <si>
    <t>Deepansh Madala Sinha</t>
  </si>
  <si>
    <t>Taashvi</t>
  </si>
  <si>
    <t>Pragnika Prusty</t>
  </si>
  <si>
    <t>Shreya</t>
  </si>
  <si>
    <t>Arush Gupta</t>
  </si>
  <si>
    <t>Nivisha</t>
  </si>
  <si>
    <t>Anvika</t>
  </si>
  <si>
    <t>Age 3 to 5 - 50 Mtr Run</t>
  </si>
  <si>
    <t>AARYASH RANA</t>
  </si>
  <si>
    <t>Oscar Janto</t>
  </si>
  <si>
    <t>Naaysha kunari</t>
  </si>
  <si>
    <t>Age 3 to 5 - Lemon Race</t>
  </si>
  <si>
    <t>Nia Gupta</t>
  </si>
  <si>
    <t>Age 5 to 8 - 100 Meters Race</t>
  </si>
  <si>
    <t>Sahil</t>
  </si>
  <si>
    <t xml:space="preserve">Adhrit Singh </t>
  </si>
  <si>
    <t>Eden Janto</t>
  </si>
  <si>
    <t>Age 5 to 8 - Lemon Race</t>
  </si>
  <si>
    <t>Tanshi Mishra</t>
  </si>
  <si>
    <t>Netik Chowdary</t>
  </si>
  <si>
    <t>Skanda Shreya</t>
  </si>
  <si>
    <t>Age 8 to 12 - 100 Meters Race</t>
  </si>
  <si>
    <t>Maedhini S</t>
  </si>
  <si>
    <t>Rudr Polaki</t>
  </si>
  <si>
    <t>Ayaan</t>
  </si>
  <si>
    <t>Age 8 to 15 - Lemon Race</t>
  </si>
  <si>
    <t>Ishita deb</t>
  </si>
  <si>
    <t>Anika garg</t>
  </si>
  <si>
    <t>Atharv Singhal</t>
  </si>
  <si>
    <t>Age 15+ - Lemon Race</t>
  </si>
  <si>
    <t>Balaji</t>
  </si>
  <si>
    <t>Gopu K B</t>
  </si>
  <si>
    <t>Aakansha Baluni</t>
  </si>
  <si>
    <t>Tresure Hunt - Kids</t>
  </si>
  <si>
    <t>Ziya Usmani</t>
  </si>
  <si>
    <t>Samaira agrawal</t>
  </si>
  <si>
    <t>Ashwika</t>
  </si>
  <si>
    <t>Tresure Hunt - Adults</t>
  </si>
  <si>
    <t>Megha Agarwal</t>
  </si>
  <si>
    <t>Sinjini Chattopadhyay</t>
  </si>
  <si>
    <t>Dimple Prakash</t>
  </si>
  <si>
    <t>SANCHARI Biswas Khan</t>
  </si>
  <si>
    <t>Tarnija</t>
  </si>
  <si>
    <t>Chess (Age upto 10)</t>
  </si>
  <si>
    <t>Aviroon Das</t>
  </si>
  <si>
    <t>Evan Joe Jerin</t>
  </si>
  <si>
    <t>Avyaan</t>
  </si>
  <si>
    <t>Chess (Age 10+)</t>
  </si>
  <si>
    <t>Aarush Pradish</t>
  </si>
  <si>
    <t xml:space="preserve">Samaira agrawal </t>
  </si>
  <si>
    <t>Arjun Madiraju</t>
  </si>
  <si>
    <t>Table Tennis Singles &amp; Doubles – Girls (Age 10 – 16) (Consolation Price)</t>
  </si>
  <si>
    <t>Vyakhya Gupta</t>
  </si>
  <si>
    <t>Table Tennis Singles – Boys (Age 10 – 16)</t>
  </si>
  <si>
    <t>Atishay Shingal</t>
  </si>
  <si>
    <t>SWASTIK SAMIRAN</t>
  </si>
  <si>
    <t>Table Tennis Singles – Women (Age 16+) (Consolation Price)</t>
  </si>
  <si>
    <t>Sanghamitra Barman</t>
  </si>
  <si>
    <t>Table Tennis Singles – Men (Age 16+)</t>
  </si>
  <si>
    <t>Anshu Goel</t>
  </si>
  <si>
    <t>Shobhit Gupta</t>
  </si>
  <si>
    <t>Nishant Niranjan</t>
  </si>
  <si>
    <t>Table Tennis Doubles – Men (Age 16+)</t>
  </si>
  <si>
    <t>Ankit Parichha</t>
  </si>
  <si>
    <t>Kundan Kumar</t>
  </si>
  <si>
    <t>Aditya Kumar</t>
  </si>
  <si>
    <t xml:space="preserve">Himanshu  </t>
  </si>
  <si>
    <t>Badminton Singles – Girls (Age 5 – 10)</t>
  </si>
  <si>
    <t>Miraya</t>
  </si>
  <si>
    <t>ishita deb</t>
  </si>
  <si>
    <t>Badminton Singles – Boys (Age 5 – 10)</t>
  </si>
  <si>
    <t>Aryan agarwal</t>
  </si>
  <si>
    <t>Badminton Singles – Girls (Age 10 – 16)</t>
  </si>
  <si>
    <t>Shreya Shaanvi</t>
  </si>
  <si>
    <t>Ashwika Gopu</t>
  </si>
  <si>
    <t>Saanvi Agrawal</t>
  </si>
  <si>
    <t>Badminton Singles – Boys (Age 10 – 16)</t>
  </si>
  <si>
    <t>Ishan deb</t>
  </si>
  <si>
    <t xml:space="preserve">Tabish Ansari </t>
  </si>
  <si>
    <t>Arshit</t>
  </si>
  <si>
    <t>Badminton Doubles – Boys (Age 10 – 16) (Consolation Price)</t>
  </si>
  <si>
    <t>Darshit Dhairyawal</t>
  </si>
  <si>
    <t>Badminton Singles – Women (Age 16+)</t>
  </si>
  <si>
    <t>Priyansha Verma</t>
  </si>
  <si>
    <t xml:space="preserve">Ankita Pattnaik </t>
  </si>
  <si>
    <t>Badminton Doubles – Women (Age 16+) (Consolation Price)</t>
  </si>
  <si>
    <t>Nisha Bansal</t>
  </si>
  <si>
    <t>Badminton Singles – Men (Age 16+)</t>
  </si>
  <si>
    <t>Manoj Shenoy</t>
  </si>
  <si>
    <t>Biswajeet Das</t>
  </si>
  <si>
    <t>Badminton Doubles – Men (Age 16+)</t>
  </si>
  <si>
    <t>Vijay Bala</t>
  </si>
  <si>
    <t>Abhishek Rathore</t>
  </si>
  <si>
    <t>Peeyush Mishra</t>
  </si>
  <si>
    <t>Badminton Mixed Doubles (Age 16+)</t>
  </si>
  <si>
    <t>Shruti Gupta</t>
  </si>
  <si>
    <t>Komal Suthar</t>
  </si>
  <si>
    <t>Ketan Suthar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</si>
</sst>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0" fontId="1" numFmtId="0" xfId="0" applyFont="1"/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4" fontId="1" numFmtId="0" xfId="0" applyAlignment="1" applyFill="1" applyFont="1">
      <alignment vertical="center"/>
    </xf>
    <xf borderId="0" fillId="4" fontId="1" numFmtId="0" xfId="0" applyAlignment="1" applyFont="1">
      <alignment horizontal="right" vertical="center"/>
    </xf>
    <xf borderId="0" fillId="4" fontId="1" numFmtId="0" xfId="0" applyAlignment="1" applyFont="1">
      <alignment readingOrder="0" vertical="center"/>
    </xf>
    <xf borderId="0" fillId="5" fontId="1" numFmtId="0" xfId="0" applyAlignment="1" applyFill="1" applyFont="1">
      <alignment vertical="center"/>
    </xf>
    <xf borderId="0" fillId="5" fontId="1" numFmtId="0" xfId="0" applyAlignment="1" applyFont="1">
      <alignment horizontal="right" vertical="center"/>
    </xf>
    <xf borderId="0" fillId="0" fontId="1" numFmtId="0" xfId="0" applyAlignment="1" applyFont="1">
      <alignment vertical="top"/>
    </xf>
    <xf borderId="0" fillId="0" fontId="1" numFmtId="1" xfId="0" applyAlignment="1" applyFont="1" applyNumberFormat="1">
      <alignment vertical="top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4" fontId="1" numFmtId="0" xfId="0" applyAlignment="1" applyFont="1">
      <alignment horizontal="left"/>
    </xf>
    <xf borderId="0" fillId="4" fontId="1" numFmtId="0" xfId="0" applyAlignment="1" applyFont="1">
      <alignment horizontal="right"/>
    </xf>
    <xf borderId="0" fillId="4" fontId="1" numFmtId="0" xfId="0" applyAlignment="1" applyFont="1">
      <alignment horizontal="left"/>
    </xf>
    <xf borderId="0" fillId="4" fontId="1" numFmtId="0" xfId="0" applyAlignment="1" applyFont="1">
      <alignment horizontal="right"/>
    </xf>
    <xf borderId="0" fillId="3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left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1">
    <tableStyle count="2" pivot="0" name="Spor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99:B101" displayName="Table_1" name="Table_1" id="1">
  <tableColumns count="2">
    <tableColumn name="Column1" id="1"/>
    <tableColumn name="Column2" id="2"/>
  </tableColumns>
  <tableStyleInfo name="Spor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8.63"/>
    <col customWidth="1" min="3" max="3" width="19.25"/>
    <col customWidth="1" min="4" max="4" width="13.75"/>
    <col customWidth="1" min="5" max="5" width="16.0"/>
    <col customWidth="1" min="9" max="9" width="38.6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/>
      <c r="C2" s="5"/>
      <c r="D2" s="3"/>
      <c r="E2" s="6" t="s">
        <v>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5</v>
      </c>
      <c r="B3" s="8">
        <v>57171.0</v>
      </c>
      <c r="C3" s="9" t="s">
        <v>6</v>
      </c>
      <c r="D3" s="9"/>
      <c r="E3" s="9" t="s">
        <v>6</v>
      </c>
      <c r="F3" s="9">
        <v>38.0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7</v>
      </c>
      <c r="B4" s="8">
        <v>510306.0</v>
      </c>
      <c r="C4" s="9" t="s">
        <v>6</v>
      </c>
      <c r="D4" s="9"/>
      <c r="E4" s="9" t="s">
        <v>8</v>
      </c>
      <c r="F4" s="3">
        <f t="shared" ref="F4:F6" si="1">countif(C:C, E4)</f>
        <v>21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 t="s">
        <v>9</v>
      </c>
      <c r="B5" s="8">
        <v>56293.0</v>
      </c>
      <c r="C5" s="9" t="s">
        <v>6</v>
      </c>
      <c r="D5" s="9"/>
      <c r="E5" s="9" t="s">
        <v>10</v>
      </c>
      <c r="F5" s="3">
        <f t="shared" si="1"/>
        <v>21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11</v>
      </c>
      <c r="B6" s="8">
        <v>57131.0</v>
      </c>
      <c r="C6" s="9" t="s">
        <v>6</v>
      </c>
      <c r="D6" s="9"/>
      <c r="E6" s="9" t="s">
        <v>12</v>
      </c>
      <c r="F6" s="3">
        <f t="shared" si="1"/>
        <v>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13</v>
      </c>
      <c r="B7" s="8">
        <v>57304.0</v>
      </c>
      <c r="C7" s="9" t="s">
        <v>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14</v>
      </c>
      <c r="B8" s="8">
        <v>59305.0</v>
      </c>
      <c r="C8" s="9" t="s">
        <v>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15</v>
      </c>
      <c r="B9" s="8">
        <v>510046.0</v>
      </c>
      <c r="C9" s="9" t="s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16</v>
      </c>
      <c r="B10" s="8">
        <v>51096.0</v>
      </c>
      <c r="C10" s="9" t="s">
        <v>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17</v>
      </c>
      <c r="B11" s="8">
        <v>510146.0</v>
      </c>
      <c r="C11" s="9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18</v>
      </c>
      <c r="B12" s="8">
        <v>56224.0</v>
      </c>
      <c r="C12" s="9" t="s">
        <v>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19</v>
      </c>
      <c r="B13" s="8">
        <v>58165.0</v>
      </c>
      <c r="C13" s="9" t="s">
        <v>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20</v>
      </c>
      <c r="B14" s="8">
        <v>57141.0</v>
      </c>
      <c r="C14" s="9" t="s">
        <v>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21</v>
      </c>
      <c r="B15" s="8">
        <v>55231.0</v>
      </c>
      <c r="C15" s="9" t="s">
        <v>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22</v>
      </c>
      <c r="B16" s="8">
        <v>57065.0</v>
      </c>
      <c r="C16" s="9" t="s">
        <v>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23</v>
      </c>
      <c r="B17" s="8">
        <v>66183.0</v>
      </c>
      <c r="C17" s="9" t="s">
        <v>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24</v>
      </c>
      <c r="B18" s="9">
        <v>56093.0</v>
      </c>
      <c r="C18" s="9" t="s">
        <v>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25</v>
      </c>
      <c r="B19" s="5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 t="s">
        <v>26</v>
      </c>
      <c r="B20" s="3">
        <v>56085.0</v>
      </c>
      <c r="C20" s="9" t="s">
        <v>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 t="s">
        <v>27</v>
      </c>
      <c r="B21" s="3">
        <v>53103.0</v>
      </c>
      <c r="C21" s="9" t="s">
        <v>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 t="s">
        <v>28</v>
      </c>
      <c r="B22" s="3">
        <v>56282.0</v>
      </c>
      <c r="C22" s="9" t="s">
        <v>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29</v>
      </c>
      <c r="B23" s="5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 t="s">
        <v>30</v>
      </c>
      <c r="B24" s="3">
        <v>510145.0</v>
      </c>
      <c r="C24" s="9" t="s">
        <v>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 t="s">
        <v>27</v>
      </c>
      <c r="B25" s="3">
        <v>53103.0</v>
      </c>
      <c r="C25" s="9" t="s">
        <v>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 t="s">
        <v>28</v>
      </c>
      <c r="B26" s="3">
        <v>56282.0</v>
      </c>
      <c r="C26" s="9" t="s">
        <v>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31</v>
      </c>
      <c r="B27" s="5"/>
      <c r="C27" s="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 t="s">
        <v>32</v>
      </c>
      <c r="B28" s="3">
        <v>55231.0</v>
      </c>
      <c r="C28" s="9" t="s">
        <v>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" t="s">
        <v>33</v>
      </c>
      <c r="B29" s="3">
        <v>56006.0</v>
      </c>
      <c r="C29" s="9" t="s">
        <v>10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" t="s">
        <v>34</v>
      </c>
      <c r="B30" s="3">
        <v>53103.0</v>
      </c>
      <c r="C30" s="9" t="s">
        <v>12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35</v>
      </c>
      <c r="B31" s="5"/>
      <c r="C31" s="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 t="s">
        <v>36</v>
      </c>
      <c r="B32" s="3">
        <v>57191.0</v>
      </c>
      <c r="C32" s="9" t="s">
        <v>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 t="s">
        <v>37</v>
      </c>
      <c r="B33" s="3">
        <v>58242.0</v>
      </c>
      <c r="C33" s="9" t="s">
        <v>10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 t="s">
        <v>34</v>
      </c>
      <c r="B34" s="3">
        <v>53103.0</v>
      </c>
      <c r="C34" s="9" t="s">
        <v>12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1" t="s">
        <v>38</v>
      </c>
      <c r="B35" s="3">
        <v>510225.0</v>
      </c>
      <c r="C35" s="9" t="s">
        <v>12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39</v>
      </c>
      <c r="B36" s="5"/>
      <c r="C36" s="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" t="s">
        <v>40</v>
      </c>
      <c r="B37" s="3">
        <v>58134.0</v>
      </c>
      <c r="C37" s="9" t="s">
        <v>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" t="s">
        <v>41</v>
      </c>
      <c r="B38" s="3">
        <v>65035.0</v>
      </c>
      <c r="C38" s="9" t="s">
        <v>10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1" t="s">
        <v>42</v>
      </c>
      <c r="B39" s="3">
        <v>57095.0</v>
      </c>
      <c r="C39" s="9" t="s">
        <v>12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43</v>
      </c>
      <c r="B40" s="5"/>
      <c r="C40" s="5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1" t="s">
        <v>44</v>
      </c>
      <c r="B41" s="3">
        <v>59212.0</v>
      </c>
      <c r="C41" s="9" t="s">
        <v>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 t="s">
        <v>45</v>
      </c>
      <c r="B42" s="3">
        <v>58206.0</v>
      </c>
      <c r="C42" s="9" t="s">
        <v>10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 t="s">
        <v>46</v>
      </c>
      <c r="B43" s="3">
        <v>56093.0</v>
      </c>
      <c r="C43" s="9" t="s">
        <v>12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47</v>
      </c>
      <c r="B44" s="5"/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 t="s">
        <v>48</v>
      </c>
      <c r="B45" s="3">
        <v>64162.0</v>
      </c>
      <c r="C45" s="9" t="s">
        <v>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" t="s">
        <v>49</v>
      </c>
      <c r="B46" s="3">
        <v>58202.0</v>
      </c>
      <c r="C46" s="9" t="s">
        <v>10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" t="s">
        <v>50</v>
      </c>
      <c r="B47" s="3">
        <v>58006.0</v>
      </c>
      <c r="C47" s="9" t="s">
        <v>12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51</v>
      </c>
      <c r="B48" s="4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3" t="s">
        <v>52</v>
      </c>
      <c r="B49" s="14">
        <v>56245.0</v>
      </c>
      <c r="C49" s="9" t="s">
        <v>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5" t="s">
        <v>38</v>
      </c>
      <c r="B50" s="14">
        <v>510225.0</v>
      </c>
      <c r="C50" s="9" t="s">
        <v>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3" t="s">
        <v>53</v>
      </c>
      <c r="B51" s="14">
        <v>65094.0</v>
      </c>
      <c r="C51" s="9" t="s">
        <v>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5" t="s">
        <v>54</v>
      </c>
      <c r="B52" s="14">
        <v>58202.0</v>
      </c>
      <c r="C52" s="9" t="s">
        <v>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55</v>
      </c>
      <c r="B53" s="4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6" t="s">
        <v>56</v>
      </c>
      <c r="B54" s="17">
        <v>56093.0</v>
      </c>
      <c r="C54" s="9" t="s">
        <v>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6" t="s">
        <v>57</v>
      </c>
      <c r="B55" s="17">
        <v>510271.0</v>
      </c>
      <c r="C55" s="9" t="s">
        <v>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6" t="s">
        <v>58</v>
      </c>
      <c r="B56" s="17">
        <v>57276.0</v>
      </c>
      <c r="C56" s="9" t="s">
        <v>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3" t="s">
        <v>59</v>
      </c>
      <c r="B57" s="14">
        <v>59101.0</v>
      </c>
      <c r="C57" s="9" t="s">
        <v>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8" t="s">
        <v>60</v>
      </c>
      <c r="B58" s="19">
        <v>59101.0</v>
      </c>
      <c r="C58" s="9" t="s">
        <v>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61</v>
      </c>
      <c r="B59" s="5"/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0" t="s">
        <v>62</v>
      </c>
      <c r="B60" s="21">
        <v>510011.0</v>
      </c>
      <c r="C60" s="9" t="s">
        <v>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0" t="s">
        <v>63</v>
      </c>
      <c r="B61" s="21">
        <v>56082.0</v>
      </c>
      <c r="C61" s="9" t="s">
        <v>10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0" t="s">
        <v>64</v>
      </c>
      <c r="B62" s="21">
        <v>510203.0</v>
      </c>
      <c r="C62" s="9" t="s">
        <v>12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65</v>
      </c>
      <c r="B63" s="5"/>
      <c r="C63" s="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0" t="s">
        <v>66</v>
      </c>
      <c r="B64" s="21">
        <v>59033.0</v>
      </c>
      <c r="C64" s="9" t="s">
        <v>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0" t="s">
        <v>67</v>
      </c>
      <c r="B65" s="21">
        <v>65094.0</v>
      </c>
      <c r="C65" s="9" t="s">
        <v>10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0" t="s">
        <v>68</v>
      </c>
      <c r="B66" s="21">
        <v>59273.0</v>
      </c>
      <c r="C66" s="9" t="s">
        <v>12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69</v>
      </c>
      <c r="B67" s="5"/>
      <c r="C67" s="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2" t="s">
        <v>70</v>
      </c>
      <c r="B68" s="3">
        <v>59085.0</v>
      </c>
      <c r="C68" s="9" t="s">
        <v>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71</v>
      </c>
      <c r="B69" s="5"/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 t="s">
        <v>72</v>
      </c>
      <c r="B70" s="8">
        <v>57273.0</v>
      </c>
      <c r="C70" s="9" t="s">
        <v>8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 t="s">
        <v>73</v>
      </c>
      <c r="B71" s="8">
        <v>57102.0</v>
      </c>
      <c r="C71" s="9" t="s">
        <v>10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7" t="s">
        <v>46</v>
      </c>
      <c r="B72" s="8">
        <v>56093.0</v>
      </c>
      <c r="C72" s="9" t="s">
        <v>12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74</v>
      </c>
      <c r="B73" s="5"/>
      <c r="C73" s="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" t="s">
        <v>75</v>
      </c>
      <c r="B74" s="3">
        <v>57016.0</v>
      </c>
      <c r="C74" s="9" t="s">
        <v>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76</v>
      </c>
      <c r="B75" s="5"/>
      <c r="C75" s="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2" t="s">
        <v>77</v>
      </c>
      <c r="B76" s="3">
        <v>58165.0</v>
      </c>
      <c r="C76" s="9" t="s">
        <v>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2" t="s">
        <v>78</v>
      </c>
      <c r="B77" s="3">
        <v>57065.0</v>
      </c>
      <c r="C77" s="9" t="s">
        <v>10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2" t="s">
        <v>79</v>
      </c>
      <c r="B78" s="3">
        <v>56182.0</v>
      </c>
      <c r="C78" s="9" t="s">
        <v>12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80</v>
      </c>
      <c r="B79" s="5"/>
      <c r="C79" s="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2" t="s">
        <v>77</v>
      </c>
      <c r="B80" s="3">
        <v>58165.0</v>
      </c>
      <c r="C80" s="9" t="s">
        <v>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2" t="s">
        <v>79</v>
      </c>
      <c r="B81" s="3">
        <v>56182.0</v>
      </c>
      <c r="C81" s="9" t="s">
        <v>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2" t="s">
        <v>81</v>
      </c>
      <c r="B82" s="3">
        <v>59255.0</v>
      </c>
      <c r="C82" s="9" t="s">
        <v>10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2" t="s">
        <v>82</v>
      </c>
      <c r="B83" s="3">
        <v>56282.0</v>
      </c>
      <c r="C83" s="9" t="s">
        <v>10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2" t="s">
        <v>83</v>
      </c>
      <c r="B84" s="3">
        <v>61044.0</v>
      </c>
      <c r="C84" s="9" t="s">
        <v>12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2" t="s">
        <v>84</v>
      </c>
      <c r="B85" s="3">
        <v>510231.0</v>
      </c>
      <c r="C85" s="9" t="s">
        <v>12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85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0" t="s">
        <v>40</v>
      </c>
      <c r="B87" s="21">
        <v>58134.0</v>
      </c>
      <c r="C87" s="9" t="s">
        <v>8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0" t="s">
        <v>86</v>
      </c>
      <c r="B88" s="21">
        <v>510224.0</v>
      </c>
      <c r="C88" s="9" t="s">
        <v>10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0" t="s">
        <v>87</v>
      </c>
      <c r="B89" s="21">
        <v>510224.0</v>
      </c>
      <c r="C89" s="9" t="s">
        <v>12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88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0" t="s">
        <v>32</v>
      </c>
      <c r="B91" s="21">
        <v>55231.0</v>
      </c>
      <c r="C91" s="9" t="s">
        <v>8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0" t="s">
        <v>89</v>
      </c>
      <c r="B92" s="21">
        <v>65094.0</v>
      </c>
      <c r="C92" s="9" t="s">
        <v>10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" t="s">
        <v>46</v>
      </c>
      <c r="B93" s="8">
        <v>56093.0</v>
      </c>
      <c r="C93" s="9" t="s">
        <v>12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90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0" t="s">
        <v>91</v>
      </c>
      <c r="B95" s="21">
        <v>57081.0</v>
      </c>
      <c r="C95" s="9" t="s">
        <v>8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0" t="s">
        <v>92</v>
      </c>
      <c r="B96" s="21">
        <v>58202.0</v>
      </c>
      <c r="C96" s="9" t="s">
        <v>10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0" t="s">
        <v>93</v>
      </c>
      <c r="B97" s="21">
        <v>58123.0</v>
      </c>
      <c r="C97" s="9" t="s">
        <v>12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94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2" t="s">
        <v>95</v>
      </c>
      <c r="B99" s="23">
        <v>59212.0</v>
      </c>
      <c r="C99" s="9" t="s">
        <v>8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4" t="s">
        <v>96</v>
      </c>
      <c r="B100" s="25">
        <v>64203.0</v>
      </c>
      <c r="C100" s="9" t="s">
        <v>10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0" t="s">
        <v>97</v>
      </c>
      <c r="B101" s="21">
        <v>54183.0</v>
      </c>
      <c r="C101" s="9" t="s">
        <v>12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6" t="s">
        <v>98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0" t="s">
        <v>46</v>
      </c>
      <c r="B103" s="21">
        <v>56093.0</v>
      </c>
      <c r="C103" s="9" t="s">
        <v>6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0" t="s">
        <v>99</v>
      </c>
      <c r="B104" s="27">
        <v>56193.0</v>
      </c>
      <c r="C104" s="9" t="s">
        <v>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100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0" t="s">
        <v>101</v>
      </c>
      <c r="B106" s="21">
        <v>56035.0</v>
      </c>
      <c r="C106" s="9" t="s">
        <v>8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0" t="s">
        <v>75</v>
      </c>
      <c r="B107" s="21">
        <v>57016.0</v>
      </c>
      <c r="C107" s="9" t="s">
        <v>10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0" t="s">
        <v>102</v>
      </c>
      <c r="B108" s="21">
        <v>66192.0</v>
      </c>
      <c r="C108" s="9" t="s">
        <v>12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103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0" t="s">
        <v>104</v>
      </c>
      <c r="B110" s="21">
        <v>65094.0</v>
      </c>
      <c r="C110" s="9" t="s">
        <v>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8" t="s">
        <v>53</v>
      </c>
      <c r="B111" s="29">
        <v>65094.0</v>
      </c>
      <c r="C111" s="9" t="s">
        <v>6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105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0" t="s">
        <v>106</v>
      </c>
      <c r="B113" s="21">
        <v>62136.0</v>
      </c>
      <c r="C113" s="9" t="s">
        <v>8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0" t="s">
        <v>78</v>
      </c>
      <c r="B114" s="21">
        <v>57065.0</v>
      </c>
      <c r="C114" s="9" t="s">
        <v>10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0" t="s">
        <v>107</v>
      </c>
      <c r="B115" s="21">
        <v>66192.0</v>
      </c>
      <c r="C115" s="9" t="s">
        <v>12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108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0" t="s">
        <v>107</v>
      </c>
      <c r="B117" s="21">
        <v>66192.0</v>
      </c>
      <c r="C117" s="9" t="s">
        <v>8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0" t="s">
        <v>106</v>
      </c>
      <c r="B118" s="21">
        <v>62136.0</v>
      </c>
      <c r="C118" s="9" t="s">
        <v>8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0" t="s">
        <v>109</v>
      </c>
      <c r="B119" s="21">
        <v>57131.0</v>
      </c>
      <c r="C119" s="9" t="s">
        <v>10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8" t="s">
        <v>110</v>
      </c>
      <c r="B120" s="29">
        <v>57185.0</v>
      </c>
      <c r="C120" s="9" t="s">
        <v>10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0" t="s">
        <v>78</v>
      </c>
      <c r="B121" s="21">
        <v>57065.0</v>
      </c>
      <c r="C121" s="9" t="s">
        <v>12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0" t="s">
        <v>111</v>
      </c>
      <c r="B122" s="21">
        <v>56041.0</v>
      </c>
      <c r="C122" s="9" t="s">
        <v>12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112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0" t="s">
        <v>102</v>
      </c>
      <c r="B124" s="21">
        <v>66192.0</v>
      </c>
      <c r="C124" s="9" t="s">
        <v>8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0" t="s">
        <v>107</v>
      </c>
      <c r="B125" s="21">
        <v>66192.0</v>
      </c>
      <c r="C125" s="9" t="s">
        <v>8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0" t="s">
        <v>113</v>
      </c>
      <c r="B126" s="21">
        <v>57065.0</v>
      </c>
      <c r="C126" s="9" t="s">
        <v>10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0" t="s">
        <v>78</v>
      </c>
      <c r="B127" s="21">
        <v>57065.0</v>
      </c>
      <c r="C127" s="9" t="s">
        <v>10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0" t="s">
        <v>114</v>
      </c>
      <c r="B128" s="21">
        <v>510201.0</v>
      </c>
      <c r="C128" s="9" t="s">
        <v>12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0" t="s">
        <v>115</v>
      </c>
      <c r="B129" s="21">
        <v>510201.0</v>
      </c>
      <c r="C129" s="9" t="s">
        <v>12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2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2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2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2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2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2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2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2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2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2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2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2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2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</sheetData>
  <mergeCells count="11">
    <mergeCell ref="A109:C109"/>
    <mergeCell ref="A112:C112"/>
    <mergeCell ref="A116:C116"/>
    <mergeCell ref="A123:C123"/>
    <mergeCell ref="E2:F2"/>
    <mergeCell ref="A86:C86"/>
    <mergeCell ref="A90:C90"/>
    <mergeCell ref="A94:C94"/>
    <mergeCell ref="A98:C98"/>
    <mergeCell ref="A102:C102"/>
    <mergeCell ref="A105:C105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